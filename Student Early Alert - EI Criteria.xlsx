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.asghar\Desktop\"/>
    </mc:Choice>
  </mc:AlternateContent>
  <xr:revisionPtr revIDLastSave="0" documentId="8_{7CF2043A-9085-428A-99C4-0F4A2087A23E}" xr6:coauthVersionLast="47" xr6:coauthVersionMax="47" xr10:uidLastSave="{00000000-0000-0000-0000-000000000000}"/>
  <bookViews>
    <workbookView xWindow="-108" yWindow="-108" windowWidth="23256" windowHeight="12456" xr2:uid="{A51EC1D5-28A6-4F05-942D-6EC1B7E8C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" l="1"/>
  <c r="H20" i="1"/>
  <c r="H19" i="1"/>
  <c r="I18" i="1"/>
  <c r="H15" i="1"/>
  <c r="H14" i="1"/>
  <c r="I14" i="1" s="1"/>
  <c r="I13" i="1"/>
  <c r="I12" i="1"/>
  <c r="H13" i="1"/>
  <c r="I19" i="1"/>
  <c r="I15" i="1"/>
  <c r="I9" i="1"/>
  <c r="C22" i="1"/>
  <c r="F22" i="1"/>
  <c r="H9" i="1"/>
  <c r="H7" i="1"/>
  <c r="I7" i="1" s="1"/>
  <c r="I22" i="1" l="1"/>
</calcChain>
</file>

<file path=xl/sharedStrings.xml><?xml version="1.0" encoding="utf-8"?>
<sst xmlns="http://schemas.openxmlformats.org/spreadsheetml/2006/main" count="65" uniqueCount="54">
  <si>
    <t>Criteria</t>
  </si>
  <si>
    <t>Category</t>
  </si>
  <si>
    <t>Performance Indicator</t>
  </si>
  <si>
    <t>Weightage</t>
  </si>
  <si>
    <t>Frequency of log-in</t>
  </si>
  <si>
    <t>once in 1 Week</t>
  </si>
  <si>
    <t>Number of users meeting PI / Total Users</t>
  </si>
  <si>
    <t>Effectiveness Index</t>
  </si>
  <si>
    <t>Score</t>
  </si>
  <si>
    <t>90%  on time</t>
  </si>
  <si>
    <t>Intervention Process (Faculty)</t>
  </si>
  <si>
    <t>Coverage</t>
  </si>
  <si>
    <t>Log-in rate</t>
  </si>
  <si>
    <t>A</t>
  </si>
  <si>
    <t>B</t>
  </si>
  <si>
    <t>C</t>
  </si>
  <si>
    <t>Alerts with intervention initiated</t>
  </si>
  <si>
    <t>Interventions progress after initiation</t>
  </si>
  <si>
    <t>Resolution or Referral</t>
  </si>
  <si>
    <t>D</t>
  </si>
  <si>
    <t>Intervention Process (Wellbeing)</t>
  </si>
  <si>
    <t>Uptake</t>
  </si>
  <si>
    <t>Referred cases with intervention initiated</t>
  </si>
  <si>
    <t>Time to first intervention</t>
  </si>
  <si>
    <t>95% alerts with intervention</t>
  </si>
  <si>
    <t>&lt;= 2 days</t>
  </si>
  <si>
    <t>0 interventions with time between two actions exceeding 10 days</t>
  </si>
  <si>
    <t>Time from one action to next within same case intervention. No of cases with time between two actions not exceeding 10 days / total number of open intervention cases</t>
  </si>
  <si>
    <t>Case progression</t>
  </si>
  <si>
    <t>Not of cases closed or referred to WB / Total cases</t>
  </si>
  <si>
    <t>Timely closing of referral of cases to WB</t>
  </si>
  <si>
    <t>Interventions progress after referral</t>
  </si>
  <si>
    <t>Time from one action to next within same referred case intervention. No of cases with time between two actions not exceeding 10 days / total number of open intervention cases</t>
  </si>
  <si>
    <t>Timely closing of referred cases</t>
  </si>
  <si>
    <t>Not of cases closed / Total cases referred</t>
  </si>
  <si>
    <t>Effectiveness Index Grading</t>
  </si>
  <si>
    <t>&gt;=90%</t>
  </si>
  <si>
    <t>&gt;=75 - &lt;90</t>
  </si>
  <si>
    <t>&gt;=50 - &lt;75</t>
  </si>
  <si>
    <t>&lt; 50</t>
  </si>
  <si>
    <t>Unsatisfactory</t>
  </si>
  <si>
    <t>Excellent</t>
  </si>
  <si>
    <t>Needs Improvement</t>
  </si>
  <si>
    <t>Satisfactory</t>
  </si>
  <si>
    <t>Formula</t>
  </si>
  <si>
    <t>Attendance Posting</t>
  </si>
  <si>
    <t>Rate of attendance posting</t>
  </si>
  <si>
    <t>Posted attendance / Total held classes</t>
  </si>
  <si>
    <t>First action by instructor</t>
  </si>
  <si>
    <t>Time in days (ave or median) taken by the instructor to initiate first action for each alert. Scoring: -20% for every 1 day exceeding PI (for this case outcome is 3 against 2 target)</t>
  </si>
  <si>
    <t>No of alerts with intervention initiated / total alerts</t>
  </si>
  <si>
    <t>Resolution after initiation (including referral to WB)</t>
  </si>
  <si>
    <t>Time in days (ave or median) taken by the counsellor to initiate first action for each referred case. Scoring: -20% for every 1 day exceeding PI (for this case outcome is 4 against 2 target)</t>
  </si>
  <si>
    <t>Resolution after initiation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</si>
</sst>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4C75-A03F-47FA-9072-6F5820AD05E4}">
  <dimension ref="A5:I29"/>
  <sheetViews>
    <sheetView tabSelected="1" topLeftCell="A5" workbookViewId="0">
      <pane xSplit="1" ySplit="1" topLeftCell="B6" activePane="bottomRight" state="frozen"/>
      <selection activeCell="A5" sqref="A5"/>
      <selection pane="topRight" activeCell="B5" sqref="B5"/>
      <selection pane="bottomLeft" activeCell="A6" sqref="A6"/>
      <selection pane="bottomRight" activeCell="F21" sqref="F21"/>
    </sheetView>
  </sheetViews>
  <sheetFormatPr defaultRowHeight="14.4" x14ac:dyDescent="0.3"/>
  <cols>
    <col min="1" max="1" width="8.88671875" style="3"/>
    <col min="2" max="2" width="25.44140625" style="1" bestFit="1" customWidth="1"/>
    <col min="3" max="3" width="12.6640625" style="1" customWidth="1"/>
    <col min="4" max="4" width="27.5546875" style="1" bestFit="1" customWidth="1"/>
    <col min="5" max="5" width="19.5546875" style="1" bestFit="1" customWidth="1"/>
    <col min="6" max="6" width="10.88671875" style="1" customWidth="1"/>
    <col min="7" max="7" width="54.5546875" style="1" customWidth="1"/>
    <col min="8" max="8" width="11.5546875" style="1" bestFit="1" customWidth="1"/>
    <col min="9" max="9" width="20.21875" style="1" bestFit="1" customWidth="1"/>
    <col min="10" max="16384" width="8.88671875" style="1"/>
  </cols>
  <sheetData>
    <row r="5" spans="1:9" ht="28.8" x14ac:dyDescent="0.3">
      <c r="B5" s="4" t="s">
        <v>1</v>
      </c>
      <c r="C5" s="4" t="s">
        <v>3</v>
      </c>
      <c r="D5" s="4" t="s">
        <v>0</v>
      </c>
      <c r="E5" s="4" t="s">
        <v>2</v>
      </c>
      <c r="F5" s="4" t="s">
        <v>3</v>
      </c>
      <c r="G5" s="4" t="s">
        <v>44</v>
      </c>
      <c r="H5" s="4" t="s">
        <v>8</v>
      </c>
      <c r="I5" s="4" t="s">
        <v>7</v>
      </c>
    </row>
    <row r="7" spans="1:9" x14ac:dyDescent="0.3">
      <c r="A7" s="3" t="s">
        <v>13</v>
      </c>
      <c r="B7" s="1" t="s">
        <v>12</v>
      </c>
      <c r="C7" s="5">
        <v>0.15</v>
      </c>
      <c r="D7" s="1" t="s">
        <v>4</v>
      </c>
      <c r="E7" s="1" t="s">
        <v>5</v>
      </c>
      <c r="F7" s="5">
        <v>0.15</v>
      </c>
      <c r="G7" s="1" t="s">
        <v>6</v>
      </c>
      <c r="H7" s="6">
        <f>65/94</f>
        <v>0.69148936170212771</v>
      </c>
      <c r="I7" s="7">
        <f>H7*F7</f>
        <v>0.10372340425531916</v>
      </c>
    </row>
    <row r="9" spans="1:9" x14ac:dyDescent="0.3">
      <c r="A9" s="3" t="s">
        <v>14</v>
      </c>
      <c r="B9" s="1" t="s">
        <v>45</v>
      </c>
      <c r="C9" s="5">
        <v>0.25</v>
      </c>
      <c r="D9" s="1" t="s">
        <v>46</v>
      </c>
      <c r="E9" s="1" t="s">
        <v>9</v>
      </c>
      <c r="F9" s="5">
        <v>0.25</v>
      </c>
      <c r="G9" s="1" t="s">
        <v>47</v>
      </c>
      <c r="H9" s="6">
        <f>185/300</f>
        <v>0.6166666666666667</v>
      </c>
      <c r="I9" s="7">
        <f>H9*F9</f>
        <v>0.15416666666666667</v>
      </c>
    </row>
    <row r="10" spans="1:9" x14ac:dyDescent="0.3">
      <c r="C10" s="5"/>
      <c r="F10" s="5"/>
    </row>
    <row r="11" spans="1:9" x14ac:dyDescent="0.3">
      <c r="A11" s="3" t="s">
        <v>15</v>
      </c>
      <c r="B11" s="1" t="s">
        <v>10</v>
      </c>
      <c r="C11" s="5">
        <v>0.35</v>
      </c>
      <c r="F11" s="5"/>
    </row>
    <row r="12" spans="1:9" ht="43.2" x14ac:dyDescent="0.3">
      <c r="A12" s="9">
        <v>1</v>
      </c>
      <c r="B12" s="1" t="s">
        <v>23</v>
      </c>
      <c r="C12" s="5"/>
      <c r="D12" s="1" t="s">
        <v>48</v>
      </c>
      <c r="E12" s="1" t="s">
        <v>25</v>
      </c>
      <c r="F12" s="5">
        <v>0.1</v>
      </c>
      <c r="G12" s="1" t="s">
        <v>49</v>
      </c>
      <c r="H12" s="6">
        <v>0.8</v>
      </c>
      <c r="I12" s="7">
        <f>H12*F12</f>
        <v>8.0000000000000016E-2</v>
      </c>
    </row>
    <row r="13" spans="1:9" ht="28.8" x14ac:dyDescent="0.3">
      <c r="A13" s="9">
        <v>2</v>
      </c>
      <c r="B13" s="1" t="s">
        <v>11</v>
      </c>
      <c r="D13" s="1" t="s">
        <v>16</v>
      </c>
      <c r="E13" s="2" t="s">
        <v>24</v>
      </c>
      <c r="F13" s="5">
        <v>0.1</v>
      </c>
      <c r="G13" s="1" t="s">
        <v>50</v>
      </c>
      <c r="H13" s="6">
        <f>65/75</f>
        <v>0.8666666666666667</v>
      </c>
      <c r="I13" s="7">
        <f>H13*F13*100/95</f>
        <v>9.1228070175438603E-2</v>
      </c>
    </row>
    <row r="14" spans="1:9" ht="57.6" x14ac:dyDescent="0.3">
      <c r="A14" s="9">
        <v>3</v>
      </c>
      <c r="B14" s="1" t="s">
        <v>28</v>
      </c>
      <c r="C14" s="5"/>
      <c r="D14" s="1" t="s">
        <v>17</v>
      </c>
      <c r="E14" s="1" t="s">
        <v>26</v>
      </c>
      <c r="F14" s="5">
        <v>0.1</v>
      </c>
      <c r="G14" s="1" t="s">
        <v>27</v>
      </c>
      <c r="H14" s="6">
        <f>12/16</f>
        <v>0.75</v>
      </c>
      <c r="I14" s="7">
        <f t="shared" ref="I12:I15" si="0">H14*F14</f>
        <v>7.5000000000000011E-2</v>
      </c>
    </row>
    <row r="15" spans="1:9" ht="43.2" x14ac:dyDescent="0.3">
      <c r="A15" s="9">
        <v>4</v>
      </c>
      <c r="B15" s="1" t="s">
        <v>18</v>
      </c>
      <c r="C15" s="5"/>
      <c r="D15" s="1" t="s">
        <v>51</v>
      </c>
      <c r="E15" s="1" t="s">
        <v>30</v>
      </c>
      <c r="F15" s="5">
        <v>0.05</v>
      </c>
      <c r="G15" s="1" t="s">
        <v>29</v>
      </c>
      <c r="H15" s="6">
        <f>8/12</f>
        <v>0.66666666666666663</v>
      </c>
      <c r="I15" s="7">
        <f t="shared" si="0"/>
        <v>3.3333333333333333E-2</v>
      </c>
    </row>
    <row r="16" spans="1:9" x14ac:dyDescent="0.3">
      <c r="C16" s="5"/>
      <c r="F16" s="5"/>
    </row>
    <row r="17" spans="1:9" ht="28.8" x14ac:dyDescent="0.3">
      <c r="A17" s="3" t="s">
        <v>19</v>
      </c>
      <c r="B17" s="1" t="s">
        <v>20</v>
      </c>
      <c r="C17" s="5">
        <v>0.25</v>
      </c>
      <c r="F17" s="5"/>
      <c r="I17" s="7"/>
    </row>
    <row r="18" spans="1:9" ht="43.2" x14ac:dyDescent="0.3">
      <c r="A18" s="9">
        <v>1</v>
      </c>
      <c r="B18" s="1" t="s">
        <v>21</v>
      </c>
      <c r="C18" s="5"/>
      <c r="D18" s="1" t="s">
        <v>22</v>
      </c>
      <c r="E18" s="1" t="s">
        <v>25</v>
      </c>
      <c r="F18" s="5">
        <v>0.1</v>
      </c>
      <c r="G18" s="1" t="s">
        <v>52</v>
      </c>
      <c r="H18" s="6">
        <v>0.6</v>
      </c>
      <c r="I18" s="7">
        <f>H18*F18</f>
        <v>0.06</v>
      </c>
    </row>
    <row r="19" spans="1:9" ht="57.6" x14ac:dyDescent="0.3">
      <c r="A19" s="9">
        <v>2</v>
      </c>
      <c r="B19" s="1" t="s">
        <v>28</v>
      </c>
      <c r="C19" s="5"/>
      <c r="D19" s="1" t="s">
        <v>31</v>
      </c>
      <c r="E19" s="1" t="s">
        <v>26</v>
      </c>
      <c r="F19" s="5">
        <v>0.1</v>
      </c>
      <c r="G19" s="1" t="s">
        <v>32</v>
      </c>
      <c r="H19" s="6">
        <f>8/11</f>
        <v>0.72727272727272729</v>
      </c>
      <c r="I19" s="7">
        <f t="shared" ref="I18:I20" si="1">H19*F19</f>
        <v>7.2727272727272738E-2</v>
      </c>
    </row>
    <row r="20" spans="1:9" ht="28.8" x14ac:dyDescent="0.3">
      <c r="A20" s="9">
        <v>3</v>
      </c>
      <c r="B20" s="1" t="s">
        <v>18</v>
      </c>
      <c r="C20" s="5"/>
      <c r="D20" s="1" t="s">
        <v>53</v>
      </c>
      <c r="E20" s="1" t="s">
        <v>33</v>
      </c>
      <c r="F20" s="5">
        <v>0.05</v>
      </c>
      <c r="G20" s="1" t="s">
        <v>34</v>
      </c>
      <c r="H20" s="6">
        <f>7/15</f>
        <v>0.46666666666666667</v>
      </c>
      <c r="I20" s="7">
        <f t="shared" si="1"/>
        <v>2.3333333333333334E-2</v>
      </c>
    </row>
    <row r="22" spans="1:9" ht="15" thickBot="1" x14ac:dyDescent="0.35">
      <c r="C22" s="8">
        <f>SUM(C7:C21)</f>
        <v>1</v>
      </c>
      <c r="F22" s="8">
        <f>SUM(F7:F21)</f>
        <v>1</v>
      </c>
      <c r="I22" s="8">
        <f>SUM(I7:I21)</f>
        <v>0.69351208049136381</v>
      </c>
    </row>
    <row r="23" spans="1:9" x14ac:dyDescent="0.3">
      <c r="H23" s="1" t="s">
        <v>15</v>
      </c>
      <c r="I23" s="1" t="s">
        <v>42</v>
      </c>
    </row>
    <row r="26" spans="1:9" x14ac:dyDescent="0.3">
      <c r="B26" s="1" t="s">
        <v>35</v>
      </c>
      <c r="D26" s="1" t="s">
        <v>13</v>
      </c>
      <c r="E26" s="1" t="s">
        <v>36</v>
      </c>
      <c r="G26" s="1" t="s">
        <v>41</v>
      </c>
    </row>
    <row r="27" spans="1:9" x14ac:dyDescent="0.3">
      <c r="D27" s="1" t="s">
        <v>14</v>
      </c>
      <c r="E27" s="1" t="s">
        <v>37</v>
      </c>
      <c r="G27" s="1" t="s">
        <v>43</v>
      </c>
    </row>
    <row r="28" spans="1:9" x14ac:dyDescent="0.3">
      <c r="D28" s="1" t="s">
        <v>15</v>
      </c>
      <c r="E28" s="1" t="s">
        <v>38</v>
      </c>
      <c r="G28" s="1" t="s">
        <v>42</v>
      </c>
    </row>
    <row r="29" spans="1:9" x14ac:dyDescent="0.3">
      <c r="D29" s="1" t="s">
        <v>19</v>
      </c>
      <c r="E29" s="1" t="s">
        <v>39</v>
      </c>
      <c r="G29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Asghar</dc:creator>
  <cp:lastModifiedBy>Imran Asghar</cp:lastModifiedBy>
  <dcterms:created xsi:type="dcterms:W3CDTF">2026-06-17T07:38:27Z</dcterms:created>
  <dcterms:modified xsi:type="dcterms:W3CDTF">2026-06-17T08:49:49Z</dcterms:modified>
</cp:coreProperties>
</file>